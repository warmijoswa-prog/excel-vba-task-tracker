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rmi\Documents\Billy\Coursera\Power Bi\Projects\Mejora de procesos mediente automatizacion\"/>
    </mc:Choice>
  </mc:AlternateContent>
  <xr:revisionPtr revIDLastSave="0" documentId="13_ncr:1_{4899682A-D964-4115-A9CE-E191441B731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etails" sheetId="1" r:id="rId1"/>
    <sheet name="Statistics" sheetId="7" r:id="rId2"/>
  </sheets>
  <definedNames>
    <definedName name="_xlnm._FilterDatabase" localSheetId="0" hidden="1">Details!$A$2:$K$2</definedName>
    <definedName name="Z_6E79835E_033C_429A_A385_D4F3850D9C29_.wvu.FilterData" localSheetId="0" hidden="1">Details!$B$2:$J$2</definedName>
    <definedName name="Z_D18D2C59_15CE_4E20_ACF7_62C2BE742B87_.wvu.FilterData" localSheetId="0" hidden="1">Details!$B$2:$J$2</definedName>
    <definedName name="Z_F45D6F32_61E5_4F15_821E_23C9F351E7AA_.wvu.FilterData" localSheetId="0" hidden="1">Details!$B$2:$J$2</definedName>
  </definedNames>
  <calcPr calcId="191029"/>
  <customWorkbookViews>
    <customWorkbookView name="oteceladm - Personal View" guid="{F45D6F32-61E5-4F15-821E-23C9F351E7AA}" mergeInterval="0" personalView="1" maximized="1" xWindow="-8" yWindow="-8" windowWidth="1382" windowHeight="744" activeSheetId="1"/>
    <customWorkbookView name="Maria Romo - Vista personalizada" guid="{04C0A92A-5056-46C5-9477-42F63280A7D0}" mergeInterval="0" personalView="1" maximized="1" xWindow="-8" yWindow="-8" windowWidth="1616" windowHeight="876" activeSheetId="2"/>
    <customWorkbookView name="Inuca Cyntia (HUAWEI) - Vista personalizada" guid="{CE24219D-992F-42E6-B722-463D1655F4C8}" mergeInterval="0" personalView="1" maximized="1" xWindow="1592" yWindow="-8" windowWidth="1616" windowHeight="916" activeSheetId="3"/>
    <customWorkbookView name="Christian Lopez - Vista personalizada" guid="{242843C9-A730-471E-8EFB-A960D6FD35BD}" mergeInterval="0" personalView="1" maximized="1" xWindow="-8" yWindow="-8" windowWidth="1382" windowHeight="744" activeSheetId="2"/>
    <customWorkbookView name="Boris  Yepez - Vista personalizada" guid="{8DF080E6-24D4-4DC7-83F9-AC2E81EBEAA5}" mergeInterval="0" personalView="1" maximized="1" xWindow="-8" yWindow="-8" windowWidth="1382" windowHeight="744" activeSheetId="2"/>
    <customWorkbookView name="Edwin - Personal View" guid="{653118D2-EB7F-4931-9664-90746FBED538}" mergeInterval="0" personalView="1" maximized="1" xWindow="-8" yWindow="-8" windowWidth="1382" windowHeight="744" activeSheetId="5"/>
    <customWorkbookView name="Iniguez Andrea (HUAWEI) - Vista personalizada" guid="{280FB61B-9817-49A2-A7DC-EB1DAC942958}" mergeInterval="0" personalView="1" maximized="1" windowWidth="1362" windowHeight="543" activeSheetId="3"/>
    <customWorkbookView name="Rodriguez Ulcuango Edison Geovanny - Vista personalizada" guid="{DED60212-8B91-430A-B66A-BC1C15C7A2B2}" mergeInterval="0" personalView="1" maximized="1" xWindow="-8" yWindow="-8" windowWidth="1382" windowHeight="744" activeSheetId="3"/>
    <customWorkbookView name="ARAUJO MARIA (HUAWEI) - Vista personalizada" guid="{C930664D-A36D-499A-8590-F2420D1931D1}" mergeInterval="0" personalView="1" maximized="1" xWindow="-8" yWindow="-8" windowWidth="1616" windowHeight="876" activeSheetId="3"/>
    <customWorkbookView name="Kenji Wakao - Personal View" guid="{689012B3-C52F-42D6-A62F-DAF851B26AE9}" mergeInterval="0" personalView="1" maximized="1" xWindow="-8" yWindow="-8" windowWidth="1382" windowHeight="744" activeSheetId="2"/>
    <customWorkbookView name="Victor Flores - Personal View" guid="{BA110196-2D22-49F3-9E29-F3206860DAD7}" mergeInterval="0" personalView="1" maximized="1" xWindow="-8" yWindow="-8" windowWidth="1382" windowHeight="744" activeSheetId="2"/>
    <customWorkbookView name="oteceladm - Vista personalizada" guid="{B0409E6C-225B-433E-B80D-12C9CF342118}" mergeInterval="0" personalView="1" maximized="1" xWindow="-8" yWindow="-8" windowWidth="1382" windowHeight="744" activeSheetId="2"/>
    <customWorkbookView name="Santiago Corrales - Personal View" guid="{D18D2C59-15CE-4E20-ACF7-62C2BE742B87}" mergeInterval="0" personalView="1" maximized="1" xWindow="-8" yWindow="-8" windowWidth="1382" windowHeight="744" activeSheetId="1"/>
  </customWorkbookViews>
  <pivotCaches>
    <pivotCache cacheId="0" r:id="rId3"/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1" l="1"/>
  <c r="H8" i="1"/>
  <c r="G8" i="1"/>
  <c r="I7" i="1"/>
  <c r="H7" i="1"/>
  <c r="G7" i="1"/>
  <c r="I6" i="1"/>
  <c r="H6" i="1"/>
  <c r="G6" i="1"/>
  <c r="I9" i="1"/>
  <c r="H9" i="1"/>
  <c r="G9" i="1"/>
  <c r="I5" i="1"/>
  <c r="H5" i="1"/>
  <c r="G5" i="1"/>
  <c r="I4" i="1"/>
  <c r="H4" i="1"/>
  <c r="G4" i="1"/>
  <c r="I3" i="1"/>
  <c r="H3" i="1"/>
  <c r="G3" i="1"/>
</calcChain>
</file>

<file path=xl/sharedStrings.xml><?xml version="1.0" encoding="utf-8"?>
<sst xmlns="http://schemas.openxmlformats.org/spreadsheetml/2006/main" count="64" uniqueCount="45">
  <si>
    <t>Responsable</t>
  </si>
  <si>
    <t>Tarea</t>
  </si>
  <si>
    <t>Vencido [días]</t>
  </si>
  <si>
    <t>Notas</t>
  </si>
  <si>
    <t>Estado</t>
  </si>
  <si>
    <t>Fecha inicio</t>
  </si>
  <si>
    <t>Fecha cierre</t>
  </si>
  <si>
    <t>Vence [días]</t>
  </si>
  <si>
    <t>Número</t>
  </si>
  <si>
    <t xml:space="preserve">
</t>
  </si>
  <si>
    <t xml:space="preserve">Fecha compromiso
</t>
  </si>
  <si>
    <t>WILLIAM</t>
  </si>
  <si>
    <t>TANNIA</t>
  </si>
  <si>
    <t>PAULA</t>
  </si>
  <si>
    <t>KAROL</t>
  </si>
  <si>
    <t>JOHN</t>
  </si>
  <si>
    <t>10/04/2026</t>
  </si>
  <si>
    <t>10/18/2026</t>
  </si>
  <si>
    <t>10/25/2026</t>
  </si>
  <si>
    <t>10/01/2026</t>
  </si>
  <si>
    <t>Open files</t>
  </si>
  <si>
    <t>Upgrade apps</t>
  </si>
  <si>
    <t>Close files</t>
  </si>
  <si>
    <t>Print docs</t>
  </si>
  <si>
    <t>12/27/2026</t>
  </si>
  <si>
    <t>Install drivers</t>
  </si>
  <si>
    <t>10.04.2026 Select files
10.04.2026 Close all files</t>
  </si>
  <si>
    <t>10.04.2026 Tests
10.04.2026 Open .txt files</t>
  </si>
  <si>
    <t>10.04.2026 Make copies
10.04.2026 Backup information</t>
  </si>
  <si>
    <t>10.04.2026 Run tests
10.04.2026 Video camera</t>
  </si>
  <si>
    <t>09/04/2026</t>
  </si>
  <si>
    <t>09/30/2026</t>
  </si>
  <si>
    <t>01/04/2026</t>
  </si>
  <si>
    <t>Instal keyboard</t>
  </si>
  <si>
    <t>10.04.2026 Workstation 23</t>
  </si>
  <si>
    <t>10.04.2026 Finish
10.04.2026 Print .txt files</t>
  </si>
  <si>
    <t>Row Labels</t>
  </si>
  <si>
    <t>Count of Número</t>
  </si>
  <si>
    <t>Column Labels</t>
  </si>
  <si>
    <t>Abierto</t>
  </si>
  <si>
    <t>Cerrado</t>
  </si>
  <si>
    <t>Configure interface</t>
  </si>
  <si>
    <t>10.04.2026 Start</t>
  </si>
  <si>
    <t>09/28/2026</t>
  </si>
  <si>
    <t>Max of Vencido [días]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</si>
</sst>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 applyAlignment="1">
      <alignment vertical="center" wrapText="1"/>
    </xf>
    <xf numFmtId="1" fontId="4" fillId="0" borderId="1" xfId="0" applyNumberFormat="1" applyFont="1" applyBorder="1" applyAlignment="1">
      <alignment horizontal="center" vertical="center" wrapText="1"/>
    </xf>
    <xf numFmtId="49" fontId="0" fillId="2" borderId="0" xfId="0" applyNumberFormat="1" applyFill="1" applyAlignment="1">
      <alignment vertical="center" wrapText="1"/>
    </xf>
    <xf numFmtId="1" fontId="0" fillId="2" borderId="0" xfId="0" applyNumberFormat="1" applyFill="1" applyAlignment="1">
      <alignment vertical="center" wrapText="1"/>
    </xf>
    <xf numFmtId="49" fontId="0" fillId="0" borderId="0" xfId="0" applyNumberFormat="1" applyAlignment="1">
      <alignment vertical="center" wrapText="1"/>
    </xf>
    <xf numFmtId="1" fontId="0" fillId="0" borderId="0" xfId="0" applyNumberFormat="1" applyAlignment="1">
      <alignment vertical="center" wrapText="1"/>
    </xf>
    <xf numFmtId="1" fontId="2" fillId="0" borderId="1" xfId="0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FFFF00"/>
      <color rgb="FF00FF00"/>
      <color rgb="FFFFFFCC"/>
      <color rgb="FFFFFFC9"/>
      <color rgb="FFD1FFD1"/>
      <color rgb="FFFFFFB3"/>
      <color rgb="FFEF9889"/>
      <color rgb="FFFFF5CD"/>
      <color rgb="FFFF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[DATE PICKER.xlsm]Statistics!PivotTable1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Pending tasks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Statistics!$B$1:$B$2</c:f>
              <c:strCache>
                <c:ptCount val="1"/>
                <c:pt idx="0">
                  <c:v>Abierto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Statistics!$A$3:$A$7</c:f>
              <c:strCache>
                <c:ptCount val="5"/>
                <c:pt idx="0">
                  <c:v>JOHN</c:v>
                </c:pt>
                <c:pt idx="1">
                  <c:v>KAROL</c:v>
                </c:pt>
                <c:pt idx="2">
                  <c:v>PAULA</c:v>
                </c:pt>
                <c:pt idx="3">
                  <c:v>TANNIA</c:v>
                </c:pt>
                <c:pt idx="4">
                  <c:v>WILLIAM</c:v>
                </c:pt>
              </c:strCache>
            </c:strRef>
          </c:cat>
          <c:val>
            <c:numRef>
              <c:f>Statistics!$B$3:$B$7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A-4995-AEB9-92B656DB7CE7}"/>
            </c:ext>
          </c:extLst>
        </c:ser>
        <c:ser>
          <c:idx val="1"/>
          <c:order val="1"/>
          <c:tx>
            <c:strRef>
              <c:f>Statistics!$C$1:$C$2</c:f>
              <c:strCache>
                <c:ptCount val="1"/>
                <c:pt idx="0">
                  <c:v>Cerrado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Statistics!$A$3:$A$7</c:f>
              <c:strCache>
                <c:ptCount val="5"/>
                <c:pt idx="0">
                  <c:v>JOHN</c:v>
                </c:pt>
                <c:pt idx="1">
                  <c:v>KAROL</c:v>
                </c:pt>
                <c:pt idx="2">
                  <c:v>PAULA</c:v>
                </c:pt>
                <c:pt idx="3">
                  <c:v>TANNIA</c:v>
                </c:pt>
                <c:pt idx="4">
                  <c:v>WILLIAM</c:v>
                </c:pt>
              </c:strCache>
            </c:strRef>
          </c:cat>
          <c:val>
            <c:numRef>
              <c:f>Statistics!$C$3:$C$7</c:f>
              <c:numCache>
                <c:formatCode>General</c:formatCode>
                <c:ptCount val="5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EA-4995-AEB9-92B656DB7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3618400"/>
        <c:axId val="527986640"/>
      </c:barChart>
      <c:catAx>
        <c:axId val="5336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986640"/>
        <c:crosses val="autoZero"/>
        <c:auto val="1"/>
        <c:lblAlgn val="ctr"/>
        <c:lblOffset val="100"/>
        <c:noMultiLvlLbl val="0"/>
      </c:catAx>
      <c:valAx>
        <c:axId val="5279866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3361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[DATE PICKER.xlsm]Statistics!PivotTable2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number of days overdue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Statistics!$B$23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Statistics!$A$24:$A$28</c:f>
              <c:strCache>
                <c:ptCount val="5"/>
                <c:pt idx="0">
                  <c:v>JOHN</c:v>
                </c:pt>
                <c:pt idx="1">
                  <c:v>KAROL</c:v>
                </c:pt>
                <c:pt idx="2">
                  <c:v>PAULA</c:v>
                </c:pt>
                <c:pt idx="3">
                  <c:v>TANNIA</c:v>
                </c:pt>
                <c:pt idx="4">
                  <c:v>WILLIAM</c:v>
                </c:pt>
              </c:strCache>
            </c:strRef>
          </c:cat>
          <c:val>
            <c:numRef>
              <c:f>Statistics!$B$24:$B$28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E4-4DD2-B7EA-DCF7531FE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3936816"/>
        <c:axId val="527970320"/>
      </c:barChart>
      <c:catAx>
        <c:axId val="53393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970320"/>
        <c:crosses val="autoZero"/>
        <c:auto val="1"/>
        <c:lblAlgn val="ctr"/>
        <c:lblOffset val="100"/>
        <c:noMultiLvlLbl val="0"/>
      </c:catAx>
      <c:valAx>
        <c:axId val="527970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3393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0</xdr:row>
          <xdr:rowOff>0</xdr:rowOff>
        </xdr:from>
        <xdr:to>
          <xdr:col>4</xdr:col>
          <xdr:colOff>838200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Seguimiento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0</xdr:row>
          <xdr:rowOff>0</xdr:rowOff>
        </xdr:from>
        <xdr:to>
          <xdr:col>1</xdr:col>
          <xdr:colOff>1000125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3286125</xdr:colOff>
          <xdr:row>0</xdr:row>
          <xdr:rowOff>0</xdr:rowOff>
        </xdr:from>
        <xdr:to>
          <xdr:col>9</xdr:col>
          <xdr:colOff>4724400</xdr:colOff>
          <xdr:row>0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923925</xdr:colOff>
          <xdr:row>0</xdr:row>
          <xdr:rowOff>0</xdr:rowOff>
        </xdr:from>
        <xdr:to>
          <xdr:col>8</xdr:col>
          <xdr:colOff>409575</xdr:colOff>
          <xdr:row>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Cerrar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1276350</xdr:colOff>
          <xdr:row>0</xdr:row>
          <xdr:rowOff>0</xdr:rowOff>
        </xdr:from>
        <xdr:to>
          <xdr:col>9</xdr:col>
          <xdr:colOff>2714625</xdr:colOff>
          <xdr:row>0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0</xdr:row>
      <xdr:rowOff>0</xdr:rowOff>
    </xdr:from>
    <xdr:to>
      <xdr:col>12</xdr:col>
      <xdr:colOff>57150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F6808C-2377-8DFE-F40C-408A321D6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18</xdr:row>
      <xdr:rowOff>138112</xdr:rowOff>
    </xdr:from>
    <xdr:to>
      <xdr:col>12</xdr:col>
      <xdr:colOff>47625</xdr:colOff>
      <xdr:row>33</xdr:row>
      <xdr:rowOff>23812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3533F72-2EC2-1ACD-511E-D91701E3DB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Armijos" refreshedDate="46299.413389699075" createdVersion="8" refreshedVersion="8" minRefreshableVersion="3" recordCount="182" xr:uid="{F601AEBD-96A8-4F89-AEEA-8740AA777522}">
  <cacheSource type="worksheet">
    <worksheetSource ref="A2:J184" sheet="Details"/>
  </cacheSource>
  <cacheFields count="10">
    <cacheField name="Número" numFmtId="1">
      <sharedItems containsString="0" containsBlank="1" containsNumber="1" containsInteger="1" minValue="1" maxValue="7"/>
    </cacheField>
    <cacheField name="Tarea" numFmtId="0">
      <sharedItems containsBlank="1"/>
    </cacheField>
    <cacheField name="Responsable" numFmtId="0">
      <sharedItems containsBlank="1" count="6">
        <s v="WILLIAM"/>
        <s v="TANNIA"/>
        <s v="PAULA"/>
        <s v="JOHN"/>
        <s v="KAROL"/>
        <m/>
      </sharedItems>
    </cacheField>
    <cacheField name="Fecha inicio" numFmtId="49">
      <sharedItems containsBlank="1"/>
    </cacheField>
    <cacheField name="Fecha compromiso_x000a_" numFmtId="49">
      <sharedItems containsBlank="1"/>
    </cacheField>
    <cacheField name="Fecha cierre" numFmtId="49">
      <sharedItems containsBlank="1"/>
    </cacheField>
    <cacheField name="Estado" numFmtId="0">
      <sharedItems containsBlank="1" count="3">
        <s v="Abierto"/>
        <s v="Cerrado"/>
        <m/>
      </sharedItems>
    </cacheField>
    <cacheField name="Vence [días]" numFmtId="1">
      <sharedItems containsBlank="1" containsMixedTypes="1" containsNumber="1" containsInteger="1" minValue="14" maxValue="21"/>
    </cacheField>
    <cacheField name="Vencido [días]" numFmtId="0">
      <sharedItems containsBlank="1" containsMixedTypes="1" containsNumber="1" containsInteger="1" minValue="3" maxValue="6"/>
    </cacheField>
    <cacheField name="Nota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Armijos" refreshedDate="46299.413488541664" createdVersion="8" refreshedVersion="8" minRefreshableVersion="3" recordCount="229" xr:uid="{CB3F465E-053F-42F3-B7FA-5272A105B0B2}">
  <cacheSource type="worksheet">
    <worksheetSource ref="A2:J231" sheet="Details"/>
  </cacheSource>
  <cacheFields count="10">
    <cacheField name="Número" numFmtId="1">
      <sharedItems containsString="0" containsBlank="1" containsNumber="1" containsInteger="1" minValue="1" maxValue="7"/>
    </cacheField>
    <cacheField name="Tarea" numFmtId="0">
      <sharedItems containsBlank="1"/>
    </cacheField>
    <cacheField name="Responsable" numFmtId="0">
      <sharedItems containsBlank="1" count="6">
        <s v="WILLIAM"/>
        <s v="TANNIA"/>
        <s v="PAULA"/>
        <s v="JOHN"/>
        <s v="KAROL"/>
        <m/>
      </sharedItems>
    </cacheField>
    <cacheField name="Fecha inicio" numFmtId="49">
      <sharedItems containsBlank="1"/>
    </cacheField>
    <cacheField name="Fecha compromiso_x000a_" numFmtId="49">
      <sharedItems containsBlank="1"/>
    </cacheField>
    <cacheField name="Fecha cierre" numFmtId="49">
      <sharedItems containsBlank="1"/>
    </cacheField>
    <cacheField name="Estado" numFmtId="0">
      <sharedItems containsBlank="1"/>
    </cacheField>
    <cacheField name="Vence [días]" numFmtId="1">
      <sharedItems containsBlank="1" containsMixedTypes="1" containsNumber="1" containsInteger="1" minValue="14" maxValue="21"/>
    </cacheField>
    <cacheField name="Vencido [días]" numFmtId="0">
      <sharedItems containsBlank="1" containsMixedTypes="1" containsNumber="1" containsInteger="1" minValue="3" maxValue="6"/>
    </cacheField>
    <cacheField name="Nota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2">
  <r>
    <n v="1"/>
    <s v="Open files"/>
    <x v="0"/>
    <s v="09/04/2026"/>
    <s v="09/30/2026"/>
    <m/>
    <x v="0"/>
    <s v=""/>
    <n v="4"/>
    <s v="10.04.2026 Tests_x000a_10.04.2026 Open .txt files"/>
  </r>
  <r>
    <n v="2"/>
    <s v="Upgrade apps"/>
    <x v="1"/>
    <s v="10/04/2026"/>
    <s v="10/18/2026"/>
    <m/>
    <x v="0"/>
    <n v="14"/>
    <s v=""/>
    <s v="10.04.2026 Make copies_x000a_10.04.2026 Backup information"/>
  </r>
  <r>
    <n v="3"/>
    <s v="Close files"/>
    <x v="2"/>
    <s v="01/04/2026"/>
    <s v="10/01/2026"/>
    <m/>
    <x v="0"/>
    <s v=""/>
    <n v="3"/>
    <s v="10.04.2026 Select files_x000a_10.04.2026 Close all files"/>
  </r>
  <r>
    <n v="5"/>
    <s v="Install drivers"/>
    <x v="3"/>
    <s v="10/04/2026"/>
    <s v="10/25/2026"/>
    <m/>
    <x v="0"/>
    <n v="21"/>
    <s v=""/>
    <s v="10.04.2026 Run tests_x000a_10.04.2026 Video camera"/>
  </r>
  <r>
    <n v="6"/>
    <s v="Instal keyboard"/>
    <x v="0"/>
    <s v="10/04/2026"/>
    <s v="09/28/2026"/>
    <m/>
    <x v="0"/>
    <s v=""/>
    <n v="6"/>
    <s v="10.04.2026 Workstation 23"/>
  </r>
  <r>
    <n v="7"/>
    <s v="Configure interface"/>
    <x v="4"/>
    <s v="10/04/2026"/>
    <s v="10/18/2026"/>
    <m/>
    <x v="0"/>
    <n v="14"/>
    <s v=""/>
    <s v="10.04.2026 Start"/>
  </r>
  <r>
    <n v="4"/>
    <s v="Print docs"/>
    <x v="4"/>
    <s v="10/04/2026"/>
    <s v="12/27/2026"/>
    <s v="10/04/2026"/>
    <x v="1"/>
    <s v=""/>
    <s v=""/>
    <s v="10.04.2026 Finish_x000a_10.04.2026 Print .txt files"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  <r>
    <m/>
    <m/>
    <x v="5"/>
    <m/>
    <m/>
    <m/>
    <x v="2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9">
  <r>
    <n v="1"/>
    <s v="Open files"/>
    <x v="0"/>
    <s v="09/04/2026"/>
    <s v="09/30/2026"/>
    <m/>
    <s v="Abierto"/>
    <s v=""/>
    <n v="4"/>
    <s v="10.04.2026 Tests_x000a_10.04.2026 Open .txt files"/>
  </r>
  <r>
    <n v="2"/>
    <s v="Upgrade apps"/>
    <x v="1"/>
    <s v="10/04/2026"/>
    <s v="10/18/2026"/>
    <m/>
    <s v="Abierto"/>
    <n v="14"/>
    <s v=""/>
    <s v="10.04.2026 Make copies_x000a_10.04.2026 Backup information"/>
  </r>
  <r>
    <n v="3"/>
    <s v="Close files"/>
    <x v="2"/>
    <s v="01/04/2026"/>
    <s v="10/01/2026"/>
    <m/>
    <s v="Abierto"/>
    <s v=""/>
    <n v="3"/>
    <s v="10.04.2026 Select files_x000a_10.04.2026 Close all files"/>
  </r>
  <r>
    <n v="5"/>
    <s v="Install drivers"/>
    <x v="3"/>
    <s v="10/04/2026"/>
    <s v="10/25/2026"/>
    <m/>
    <s v="Abierto"/>
    <n v="21"/>
    <s v=""/>
    <s v="10.04.2026 Run tests_x000a_10.04.2026 Video camera"/>
  </r>
  <r>
    <n v="6"/>
    <s v="Instal keyboard"/>
    <x v="0"/>
    <s v="10/04/2026"/>
    <s v="09/28/2026"/>
    <m/>
    <s v="Abierto"/>
    <s v=""/>
    <n v="6"/>
    <s v="10.04.2026 Workstation 23"/>
  </r>
  <r>
    <n v="7"/>
    <s v="Configure interface"/>
    <x v="4"/>
    <s v="10/04/2026"/>
    <s v="10/18/2026"/>
    <m/>
    <s v="Abierto"/>
    <n v="14"/>
    <s v=""/>
    <s v="10.04.2026 Start"/>
  </r>
  <r>
    <n v="4"/>
    <s v="Print docs"/>
    <x v="4"/>
    <s v="10/04/2026"/>
    <s v="12/27/2026"/>
    <s v="10/04/2026"/>
    <s v="Cerrado"/>
    <s v=""/>
    <s v=""/>
    <s v="10.04.2026 Finish_x000a_10.04.2026 Print .txt files"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  <r>
    <m/>
    <m/>
    <x v="5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8D981F-7E1F-45B5-8915-0EA79AF0AD12}" name="PivotTable2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5">
  <location ref="A23:B28" firstHeaderRow="1" firstDataRow="1" firstDataCol="1"/>
  <pivotFields count="10">
    <pivotField showAll="0"/>
    <pivotField showAll="0"/>
    <pivotField axis="axisRow" showAll="0">
      <items count="7">
        <item x="3"/>
        <item x="4"/>
        <item x="2"/>
        <item x="1"/>
        <item x="0"/>
        <item h="1" x="5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ax of Vencido [días]" fld="8" subtotal="max" baseField="0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FD1256-1683-428B-AFF0-965AA9D78145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5">
  <location ref="A1:C7" firstHeaderRow="1" firstDataRow="2" firstDataCol="1"/>
  <pivotFields count="10">
    <pivotField dataField="1" showAll="0"/>
    <pivotField showAll="0"/>
    <pivotField axis="axisRow" showAll="0">
      <items count="7">
        <item x="3"/>
        <item x="4"/>
        <item x="2"/>
        <item x="1"/>
        <item x="0"/>
        <item h="1" x="5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>
      <x v="4"/>
    </i>
  </rowItems>
  <colFields count="1">
    <field x="6"/>
  </colFields>
  <colItems count="2">
    <i>
      <x/>
    </i>
    <i>
      <x v="1"/>
    </i>
  </colItems>
  <dataFields count="1">
    <dataField name="Count of Número" fld="0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16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9" sqref="J9"/>
    </sheetView>
  </sheetViews>
  <sheetFormatPr defaultColWidth="9.140625" defaultRowHeight="15" x14ac:dyDescent="0.25"/>
  <cols>
    <col min="1" max="1" width="9.7109375" style="12" customWidth="1"/>
    <col min="2" max="2" width="26.7109375" style="5" customWidth="1"/>
    <col min="3" max="3" width="12.7109375" style="5" customWidth="1"/>
    <col min="4" max="6" width="14.7109375" style="11" customWidth="1"/>
    <col min="7" max="7" width="14.7109375" style="5" customWidth="1"/>
    <col min="8" max="9" width="14.7109375" style="12" customWidth="1"/>
    <col min="10" max="10" width="90.7109375" style="5" customWidth="1"/>
    <col min="11" max="13" width="9.140625" style="5"/>
    <col min="14" max="14" width="12.42578125" style="5" bestFit="1" customWidth="1"/>
    <col min="15" max="16384" width="9.140625" style="5"/>
  </cols>
  <sheetData>
    <row r="1" spans="1:10" ht="30" x14ac:dyDescent="0.25">
      <c r="A1" s="10" t="s">
        <v>9</v>
      </c>
      <c r="B1" s="7"/>
      <c r="C1" s="7"/>
      <c r="D1" s="9"/>
      <c r="E1" s="9"/>
      <c r="F1" s="9"/>
      <c r="G1" s="7"/>
      <c r="H1" s="10"/>
      <c r="I1" s="10"/>
    </row>
    <row r="2" spans="1:10" s="6" customFormat="1" ht="45" x14ac:dyDescent="0.25">
      <c r="A2" s="13" t="s">
        <v>8</v>
      </c>
      <c r="B2" s="1" t="s">
        <v>1</v>
      </c>
      <c r="C2" s="2" t="s">
        <v>0</v>
      </c>
      <c r="D2" s="3" t="s">
        <v>5</v>
      </c>
      <c r="E2" s="3" t="s">
        <v>10</v>
      </c>
      <c r="F2" s="3" t="s">
        <v>6</v>
      </c>
      <c r="G2" s="4" t="s">
        <v>4</v>
      </c>
      <c r="H2" s="8" t="s">
        <v>7</v>
      </c>
      <c r="I2" s="8" t="s">
        <v>2</v>
      </c>
      <c r="J2" s="1" t="s">
        <v>3</v>
      </c>
    </row>
    <row r="3" spans="1:10" ht="30" x14ac:dyDescent="0.25">
      <c r="A3" s="12">
        <v>1</v>
      </c>
      <c r="B3" s="5" t="s">
        <v>20</v>
      </c>
      <c r="C3" s="5" t="s">
        <v>11</v>
      </c>
      <c r="D3" s="11" t="s">
        <v>30</v>
      </c>
      <c r="E3" s="11" t="s">
        <v>31</v>
      </c>
      <c r="G3" s="5" t="str">
        <f t="shared" ref="G3:G9" si="0">IF(F3="","Abierto","Cerrado")</f>
        <v>Abierto</v>
      </c>
      <c r="H3" s="12" t="str">
        <f t="shared" ref="H3:H9" ca="1" si="1">IF(F3&lt;&gt;"","",IF(E3-INT(NOW())&lt;0,"",E3-INT(NOW())))</f>
        <v/>
      </c>
      <c r="I3" s="12">
        <f t="shared" ref="I3:I9" ca="1" si="2">IF(F3&lt;&gt;"","",IF(E3-INT(NOW())&gt;0,"",ABS(E3-INT(NOW()))))</f>
        <v>5</v>
      </c>
      <c r="J3" s="5" t="s">
        <v>27</v>
      </c>
    </row>
    <row r="4" spans="1:10" ht="30" x14ac:dyDescent="0.25">
      <c r="A4" s="12">
        <v>2</v>
      </c>
      <c r="B4" s="5" t="s">
        <v>21</v>
      </c>
      <c r="C4" s="5" t="s">
        <v>12</v>
      </c>
      <c r="D4" s="11" t="s">
        <v>16</v>
      </c>
      <c r="E4" s="11" t="s">
        <v>17</v>
      </c>
      <c r="G4" s="5" t="str">
        <f t="shared" si="0"/>
        <v>Abierto</v>
      </c>
      <c r="H4" s="12">
        <f t="shared" ca="1" si="1"/>
        <v>13</v>
      </c>
      <c r="I4" s="12" t="str">
        <f t="shared" ca="1" si="2"/>
        <v/>
      </c>
      <c r="J4" s="5" t="s">
        <v>28</v>
      </c>
    </row>
    <row r="5" spans="1:10" ht="30" x14ac:dyDescent="0.25">
      <c r="A5" s="12">
        <v>3</v>
      </c>
      <c r="B5" s="5" t="s">
        <v>22</v>
      </c>
      <c r="C5" s="5" t="s">
        <v>13</v>
      </c>
      <c r="D5" s="11" t="s">
        <v>32</v>
      </c>
      <c r="E5" s="11" t="s">
        <v>19</v>
      </c>
      <c r="G5" s="5" t="str">
        <f t="shared" si="0"/>
        <v>Abierto</v>
      </c>
      <c r="H5" s="12" t="str">
        <f t="shared" ca="1" si="1"/>
        <v/>
      </c>
      <c r="I5" s="12">
        <f t="shared" ca="1" si="2"/>
        <v>4</v>
      </c>
      <c r="J5" s="5" t="s">
        <v>26</v>
      </c>
    </row>
    <row r="6" spans="1:10" ht="30" x14ac:dyDescent="0.25">
      <c r="A6" s="12">
        <v>5</v>
      </c>
      <c r="B6" s="5" t="s">
        <v>25</v>
      </c>
      <c r="C6" s="5" t="s">
        <v>15</v>
      </c>
      <c r="D6" s="11" t="s">
        <v>16</v>
      </c>
      <c r="E6" s="11" t="s">
        <v>18</v>
      </c>
      <c r="G6" s="5" t="str">
        <f t="shared" si="0"/>
        <v>Abierto</v>
      </c>
      <c r="H6" s="12">
        <f t="shared" ca="1" si="1"/>
        <v>20</v>
      </c>
      <c r="I6" s="12" t="str">
        <f t="shared" ca="1" si="2"/>
        <v/>
      </c>
      <c r="J6" s="5" t="s">
        <v>29</v>
      </c>
    </row>
    <row r="7" spans="1:10" x14ac:dyDescent="0.25">
      <c r="A7" s="12">
        <v>6</v>
      </c>
      <c r="B7" s="5" t="s">
        <v>33</v>
      </c>
      <c r="C7" s="5" t="s">
        <v>11</v>
      </c>
      <c r="D7" s="11" t="s">
        <v>16</v>
      </c>
      <c r="E7" s="11" t="s">
        <v>43</v>
      </c>
      <c r="G7" s="5" t="str">
        <f t="shared" si="0"/>
        <v>Abierto</v>
      </c>
      <c r="H7" s="12" t="str">
        <f t="shared" ca="1" si="1"/>
        <v/>
      </c>
      <c r="I7" s="12">
        <f t="shared" ca="1" si="2"/>
        <v>7</v>
      </c>
      <c r="J7" s="5" t="s">
        <v>34</v>
      </c>
    </row>
    <row r="8" spans="1:10" x14ac:dyDescent="0.25">
      <c r="A8" s="12">
        <v>7</v>
      </c>
      <c r="B8" s="5" t="s">
        <v>41</v>
      </c>
      <c r="C8" s="5" t="s">
        <v>14</v>
      </c>
      <c r="D8" s="11" t="s">
        <v>16</v>
      </c>
      <c r="E8" s="11" t="s">
        <v>17</v>
      </c>
      <c r="G8" s="5" t="str">
        <f t="shared" si="0"/>
        <v>Abierto</v>
      </c>
      <c r="H8" s="12">
        <f t="shared" ca="1" si="1"/>
        <v>13</v>
      </c>
      <c r="I8" s="12" t="str">
        <f t="shared" ca="1" si="2"/>
        <v/>
      </c>
      <c r="J8" s="5" t="s">
        <v>42</v>
      </c>
    </row>
    <row r="9" spans="1:10" x14ac:dyDescent="0.25">
      <c r="A9" s="12">
        <v>4</v>
      </c>
      <c r="B9" s="5" t="s">
        <v>23</v>
      </c>
      <c r="C9" s="5" t="s">
        <v>14</v>
      </c>
      <c r="D9" s="11" t="s">
        <v>16</v>
      </c>
      <c r="E9" s="11" t="s">
        <v>24</v>
      </c>
      <c r="F9" s="11" t="s">
        <v>16</v>
      </c>
      <c r="G9" s="5" t="str">
        <f t="shared" si="0"/>
        <v>Cerrado</v>
      </c>
      <c r="H9" s="12" t="str">
        <f t="shared" ca="1" si="1"/>
        <v/>
      </c>
      <c r="I9" s="12" t="str">
        <f t="shared" ca="1" si="2"/>
        <v/>
      </c>
      <c r="J9" s="5" t="s">
        <v>35</v>
      </c>
    </row>
    <row r="16" spans="1:10" x14ac:dyDescent="0.25">
      <c r="I16" s="11"/>
    </row>
  </sheetData>
  <autoFilter ref="A2:K2" xr:uid="{00000000-0001-0000-0000-000000000000}"/>
  <sortState xmlns:xlrd2="http://schemas.microsoft.com/office/spreadsheetml/2017/richdata2" ref="A3:K10000">
    <sortCondition ref="G3:G10000"/>
    <sortCondition ref="A3:A10000"/>
  </sortState>
  <customSheetViews>
    <customSheetView guid="{F45D6F32-61E5-4F15-821E-23C9F351E7AA}" scale="85">
      <pane ySplit="2" topLeftCell="A78" activePane="bottomLeft" state="frozen"/>
      <selection pane="bottomLeft" activeCell="A82" sqref="A82"/>
      <pageMargins left="0.7" right="0.7" top="0.75" bottom="0.75" header="0.3" footer="0.3"/>
      <pageSetup paperSize="9" orientation="portrait" r:id="rId1"/>
    </customSheetView>
    <customSheetView guid="{D18D2C59-15CE-4E20-ACF7-62C2BE742B87}" scale="65" filter="1" showAutoFilter="1" topLeftCell="A2">
      <selection activeCell="A2" sqref="A2"/>
      <pageMargins left="0.7" right="0.7" top="0.75" bottom="0.75" header="0.3" footer="0.3"/>
      <autoFilter ref="A2:I84" xr:uid="{1DB3776A-CB4D-495A-B57D-B88A285F7FCE}">
        <filterColumn colId="7">
          <filters>
            <filter val="Abierto"/>
          </filters>
        </filterColumn>
      </autoFilter>
    </customSheetView>
  </customSheetViews>
  <pageMargins left="0.7" right="0.7" top="0.75" bottom="0.75" header="0.3" footer="0.3"/>
  <pageSetup paperSize="9" orientation="portrait" r:id="rId2"/>
  <headerFooter>
    <oddFooter>&amp;L_x000D_&amp;1#&amp;"Arial"&amp;7&amp;K000000 ***Este documento está clasificado como PUBLICO por TELEFÓNICA.
***This document is classified as PUBLIC by TELEFÓNICA.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eguimiento.Seguimiento">
                <anchor moveWithCells="1" sizeWithCells="1">
                  <from>
                    <xdr:col>3</xdr:col>
                    <xdr:colOff>381000</xdr:colOff>
                    <xdr:row>0</xdr:row>
                    <xdr:rowOff>0</xdr:rowOff>
                  </from>
                  <to>
                    <xdr:col>4</xdr:col>
                    <xdr:colOff>838200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Nueva_tarea.Nueva_tarea">
                <anchor moveWithCells="1" sizeWithCells="1">
                  <from>
                    <xdr:col>0</xdr:col>
                    <xdr:colOff>200025</xdr:colOff>
                    <xdr:row>0</xdr:row>
                    <xdr:rowOff>0</xdr:rowOff>
                  </from>
                  <to>
                    <xdr:col>1</xdr:col>
                    <xdr:colOff>1000125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Filtro.Filtro">
                <anchor moveWithCells="1" sizeWithCells="1">
                  <from>
                    <xdr:col>9</xdr:col>
                    <xdr:colOff>3286125</xdr:colOff>
                    <xdr:row>0</xdr:row>
                    <xdr:rowOff>0</xdr:rowOff>
                  </from>
                  <to>
                    <xdr:col>9</xdr:col>
                    <xdr:colOff>4724400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errar_tarea.Cerrar_tarea">
                <anchor moveWithCells="1" sizeWithCells="1">
                  <from>
                    <xdr:col>6</xdr:col>
                    <xdr:colOff>923925</xdr:colOff>
                    <xdr:row>0</xdr:row>
                    <xdr:rowOff>0</xdr:rowOff>
                  </from>
                  <to>
                    <xdr:col>8</xdr:col>
                    <xdr:colOff>409575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Ordenar.Ordenar">
                <anchor moveWithCells="1" sizeWithCells="1">
                  <from>
                    <xdr:col>9</xdr:col>
                    <xdr:colOff>1276350</xdr:colOff>
                    <xdr:row>0</xdr:row>
                    <xdr:rowOff>0</xdr:rowOff>
                  </from>
                  <to>
                    <xdr:col>9</xdr:col>
                    <xdr:colOff>2714625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B2D14-1444-483F-A446-511D3ADB4E85}">
  <sheetPr codeName="Sheet1"/>
  <dimension ref="A1:C28"/>
  <sheetViews>
    <sheetView workbookViewId="0">
      <selection activeCell="R22" sqref="R22"/>
    </sheetView>
  </sheetViews>
  <sheetFormatPr defaultRowHeight="15" x14ac:dyDescent="0.25"/>
  <cols>
    <col min="1" max="1" width="13.140625" bestFit="1" customWidth="1"/>
    <col min="2" max="2" width="20.5703125" bestFit="1" customWidth="1"/>
    <col min="3" max="3" width="8" bestFit="1" customWidth="1"/>
    <col min="4" max="5" width="11.28515625" bestFit="1" customWidth="1"/>
  </cols>
  <sheetData>
    <row r="1" spans="1:3" x14ac:dyDescent="0.25">
      <c r="A1" s="14" t="s">
        <v>37</v>
      </c>
      <c r="B1" s="14" t="s">
        <v>38</v>
      </c>
    </row>
    <row r="2" spans="1:3" x14ac:dyDescent="0.25">
      <c r="A2" s="14" t="s">
        <v>36</v>
      </c>
      <c r="B2" t="s">
        <v>39</v>
      </c>
      <c r="C2" t="s">
        <v>40</v>
      </c>
    </row>
    <row r="3" spans="1:3" x14ac:dyDescent="0.25">
      <c r="A3" s="15" t="s">
        <v>15</v>
      </c>
      <c r="B3">
        <v>1</v>
      </c>
    </row>
    <row r="4" spans="1:3" x14ac:dyDescent="0.25">
      <c r="A4" s="15" t="s">
        <v>14</v>
      </c>
      <c r="B4">
        <v>1</v>
      </c>
      <c r="C4">
        <v>1</v>
      </c>
    </row>
    <row r="5" spans="1:3" x14ac:dyDescent="0.25">
      <c r="A5" s="15" t="s">
        <v>13</v>
      </c>
      <c r="B5">
        <v>1</v>
      </c>
    </row>
    <row r="6" spans="1:3" x14ac:dyDescent="0.25">
      <c r="A6" s="15" t="s">
        <v>12</v>
      </c>
      <c r="B6">
        <v>1</v>
      </c>
    </row>
    <row r="7" spans="1:3" x14ac:dyDescent="0.25">
      <c r="A7" s="15" t="s">
        <v>11</v>
      </c>
      <c r="B7">
        <v>2</v>
      </c>
    </row>
    <row r="23" spans="1:2" x14ac:dyDescent="0.25">
      <c r="A23" s="14" t="s">
        <v>36</v>
      </c>
      <c r="B23" t="s">
        <v>44</v>
      </c>
    </row>
    <row r="24" spans="1:2" x14ac:dyDescent="0.25">
      <c r="A24" s="15" t="s">
        <v>15</v>
      </c>
      <c r="B24">
        <v>0</v>
      </c>
    </row>
    <row r="25" spans="1:2" x14ac:dyDescent="0.25">
      <c r="A25" s="15" t="s">
        <v>14</v>
      </c>
      <c r="B25">
        <v>0</v>
      </c>
    </row>
    <row r="26" spans="1:2" x14ac:dyDescent="0.25">
      <c r="A26" s="15" t="s">
        <v>13</v>
      </c>
      <c r="B26">
        <v>3</v>
      </c>
    </row>
    <row r="27" spans="1:2" x14ac:dyDescent="0.25">
      <c r="A27" s="15" t="s">
        <v>12</v>
      </c>
      <c r="B27">
        <v>0</v>
      </c>
    </row>
    <row r="28" spans="1:2" x14ac:dyDescent="0.25">
      <c r="A28" s="15" t="s">
        <v>11</v>
      </c>
      <c r="B28">
        <v>6</v>
      </c>
    </row>
  </sheetData>
  <pageMargins left="0.7" right="0.7" top="0.75" bottom="0.75" header="0.3" footer="0.3"/>
  <drawing r:id="rId3"/>
</worksheet>
</file>

<file path=docMetadata/LabelInfo.xml><?xml version="1.0" encoding="utf-8"?>
<clbl:labelList xmlns:clbl="http://schemas.microsoft.com/office/2020/mipLabelMetadata">
  <clbl:label id="{e65bd4d2-aa7c-445f-9ef8-222ebb1d2b43}" enabled="1" method="Privileged" siteId="{9744600e-3e04-492e-baa1-25ec245c6f1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Details</vt:lpstr>
      <vt:lpstr>Statistics</vt:lpstr>
    </vt:vector>
  </TitlesOfParts>
  <Company>OTECEL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oteceladm</dc:creator>
  <cp:lastModifiedBy>William Armijos</cp:lastModifiedBy>
  <dcterms:created xsi:type="dcterms:W3CDTF">2015-03-03T19:44:13Z</dcterms:created>
  <dcterms:modified xsi:type="dcterms:W3CDTF">2026-10-06T02:25:29Z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5bd4d2-aa7c-445f-9ef8-222ebb1d2b43_Enabled">
    <vt:lpwstr>true</vt:lpwstr>
  </property>
  <property fmtid="{D5CDD505-2E9C-101B-9397-08002B2CF9AE}" pid="3" name="MSIP_Label_e65bd4d2-aa7c-445f-9ef8-222ebb1d2b43_SetDate">
    <vt:lpwstr>2023-05-10T17:33:14Z</vt:lpwstr>
  </property>
  <property fmtid="{D5CDD505-2E9C-101B-9397-08002B2CF9AE}" pid="4" name="MSIP_Label_e65bd4d2-aa7c-445f-9ef8-222ebb1d2b43_Method">
    <vt:lpwstr>Privileged</vt:lpwstr>
  </property>
  <property fmtid="{D5CDD505-2E9C-101B-9397-08002B2CF9AE}" pid="5" name="MSIP_Label_e65bd4d2-aa7c-445f-9ef8-222ebb1d2b43_Name">
    <vt:lpwstr>e65bd4d2-aa7c-445f-9ef8-222ebb1d2b43</vt:lpwstr>
  </property>
  <property fmtid="{D5CDD505-2E9C-101B-9397-08002B2CF9AE}" pid="6" name="MSIP_Label_e65bd4d2-aa7c-445f-9ef8-222ebb1d2b43_SiteId">
    <vt:lpwstr>9744600e-3e04-492e-baa1-25ec245c6f10</vt:lpwstr>
  </property>
  <property fmtid="{D5CDD505-2E9C-101B-9397-08002B2CF9AE}" pid="7" name="MSIP_Label_e65bd4d2-aa7c-445f-9ef8-222ebb1d2b43_ActionId">
    <vt:lpwstr>190f5ece-8e7a-4ef4-b5f0-3007e8732248</vt:lpwstr>
  </property>
  <property fmtid="{D5CDD505-2E9C-101B-9397-08002B2CF9AE}" pid="8" name="MSIP_Label_e65bd4d2-aa7c-445f-9ef8-222ebb1d2b43_ContentBits">
    <vt:lpwstr>2</vt:lpwstr>
  </property>
</Properties>
</file>